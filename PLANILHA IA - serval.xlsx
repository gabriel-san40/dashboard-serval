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SH SKY" sheetId="1" r:id="rId4"/>
    <sheet state="visible" name="DASH NET" sheetId="2" r:id="rId5"/>
    <sheet state="visible" name="LEADS" sheetId="3" r:id="rId6"/>
  </sheets>
  <definedNames/>
  <calcPr/>
</workbook>
</file>

<file path=xl/sharedStrings.xml><?xml version="1.0" encoding="utf-8"?>
<sst xmlns="http://schemas.openxmlformats.org/spreadsheetml/2006/main" count="68" uniqueCount="49">
  <si>
    <t>DATA</t>
  </si>
  <si>
    <t>CADASTRO PÓS</t>
  </si>
  <si>
    <t>LEANDRO</t>
  </si>
  <si>
    <t>SUELLEN</t>
  </si>
  <si>
    <t>LUIZA</t>
  </si>
  <si>
    <t>ABIGAIL</t>
  </si>
  <si>
    <t>TATIELE</t>
  </si>
  <si>
    <t>HABILITADAS PÓS</t>
  </si>
  <si>
    <t>HABILITADAS PRÉ / PARABÓLICA</t>
  </si>
  <si>
    <t>META PÓS</t>
  </si>
  <si>
    <t>META PRÉ / PARABÓLICA</t>
  </si>
  <si>
    <t>PROJEÇÃO CADASTRO PÓS</t>
  </si>
  <si>
    <t>PROJEÇÃO HABILITADAS PÓS</t>
  </si>
  <si>
    <t>PROJEÇÃO HABILITADAS PRÉ / PARABÓLICA</t>
  </si>
  <si>
    <t>TOTAL</t>
  </si>
  <si>
    <t>CADASTRO NET</t>
  </si>
  <si>
    <t>HABILITADAS NET</t>
  </si>
  <si>
    <t>200MEGA</t>
  </si>
  <si>
    <t>400MEGA</t>
  </si>
  <si>
    <t>800MEGA</t>
  </si>
  <si>
    <t>1GIGA</t>
  </si>
  <si>
    <t>META NET</t>
  </si>
  <si>
    <t>PROJEÇÃO CADASTRO NET</t>
  </si>
  <si>
    <t>PROJEÇÃO HABILITADAS NET</t>
  </si>
  <si>
    <t>TOTAL LEADS PÓS</t>
  </si>
  <si>
    <t>IA</t>
  </si>
  <si>
    <t>ROBO</t>
  </si>
  <si>
    <t>FACEBOOK</t>
  </si>
  <si>
    <t>SEM CONTATO IA</t>
  </si>
  <si>
    <t>SEM CONTATO ROBO</t>
  </si>
  <si>
    <t>SEM CONTATO FACEBOOK</t>
  </si>
  <si>
    <t>EM NEGOCIAÇÃO IA</t>
  </si>
  <si>
    <t>EM NEGOCIAÇÃO ROBO</t>
  </si>
  <si>
    <t>EM NEGOCIAÇÃO FACEBOOK</t>
  </si>
  <si>
    <t>CADASTRADAS IA</t>
  </si>
  <si>
    <t>CADASTRADAS ROBO</t>
  </si>
  <si>
    <t>CADASTRADAS FACEBOOK</t>
  </si>
  <si>
    <t>CADASTRADAS LOJA</t>
  </si>
  <si>
    <t>CADASTRADAS INDICAÇÃO</t>
  </si>
  <si>
    <t>CADASTRADAS PAP</t>
  </si>
  <si>
    <t>TAXA CADASTRO/LEAD IA</t>
  </si>
  <si>
    <t>TAXA CADASTRO/LEAD ROBO</t>
  </si>
  <si>
    <t>TAXA CADASTRO/LEAD FACEBOOK</t>
  </si>
  <si>
    <t>HABILITADAS IA</t>
  </si>
  <si>
    <t>TAXA HABILITAÇÃO IA</t>
  </si>
  <si>
    <t>HABILITADAS ROBO</t>
  </si>
  <si>
    <t>TAXA HABILITAÇÃO ROBO</t>
  </si>
  <si>
    <t>HABILITADAS FACEBOOK</t>
  </si>
  <si>
    <t>TAXA HABILITAÇÃO FACEBOOK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</si>
</sst>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_-* #,##0_-;\-* #,##0_-;_-* &quot;-&quot;??_-;_-@"/>
  </numFmts>
  <fonts count="4">
    <font>
      <sz val="11.0"/>
      <color/>
      <name val="Arial"/>
      <scheme val="minor"/>
    </font>
    <font>
      <sz val="11.0"/>
      <color/>
      <name val="Calibri"/>
    </font>
    <font>
      <b/>
      <sz val="11.0"/>
      <color/>
      <name val="Calibri"/>
    </font>
    <font>
      <sz val="11.0"/>
      <color rgb="FF000000"/>
      <name val="Courier New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1" numFmtId="2" xfId="0" applyAlignment="1" applyFont="1" applyNumberFormat="1">
      <alignment horizontal="center" shrinkToFit="0" vertical="center" wrapText="0"/>
    </xf>
    <xf borderId="1" fillId="0" fontId="2" numFmtId="0" xfId="0" applyAlignment="1" applyBorder="1" applyFont="1">
      <alignment horizontal="center" shrinkToFit="0" vertical="center" wrapText="0"/>
    </xf>
    <xf borderId="1" fillId="0" fontId="2" numFmtId="2" xfId="0" applyAlignment="1" applyBorder="1" applyFont="1" applyNumberFormat="1">
      <alignment horizontal="center" shrinkToFit="0" vertical="center" wrapText="0"/>
    </xf>
    <xf borderId="0" fillId="0" fontId="1" numFmtId="16" xfId="0" applyAlignment="1" applyFont="1" applyNumberFormat="1">
      <alignment shrinkToFit="0" vertical="bottom" wrapText="0"/>
    </xf>
    <xf borderId="0" fillId="0" fontId="1" numFmtId="164" xfId="0" applyAlignment="1" applyFont="1" applyNumberFormat="1">
      <alignment horizontal="center" shrinkToFit="0" vertical="center" wrapText="0"/>
    </xf>
    <xf borderId="0" fillId="0" fontId="1" numFmtId="0" xfId="0" applyAlignment="1" applyFont="1">
      <alignment horizontal="right" shrinkToFit="0" vertical="bottom" wrapText="0"/>
    </xf>
    <xf borderId="0" fillId="0" fontId="1" numFmtId="1" xfId="0" applyAlignment="1" applyFont="1" applyNumberFormat="1">
      <alignment horizontal="center" shrinkToFit="0" vertical="center" wrapText="0"/>
    </xf>
    <xf borderId="0" fillId="0" fontId="3" numFmtId="0" xfId="0" applyAlignment="1" applyFon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18" width="30.14"/>
    <col customWidth="1" min="19" max="19" width="43.29"/>
    <col customWidth="1" min="20" max="28" width="30.14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Q1" s="2"/>
    </row>
    <row r="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2</v>
      </c>
      <c r="J2" s="3" t="s">
        <v>3</v>
      </c>
      <c r="K2" s="3" t="s">
        <v>4</v>
      </c>
      <c r="L2" s="3" t="s">
        <v>5</v>
      </c>
      <c r="M2" s="3" t="s">
        <v>6</v>
      </c>
      <c r="N2" s="3" t="s">
        <v>8</v>
      </c>
      <c r="O2" s="3" t="s">
        <v>9</v>
      </c>
      <c r="P2" s="3" t="s">
        <v>10</v>
      </c>
      <c r="Q2" s="4" t="s">
        <v>11</v>
      </c>
      <c r="R2" s="3" t="s">
        <v>12</v>
      </c>
      <c r="S2" s="3" t="s">
        <v>13</v>
      </c>
      <c r="T2" s="3"/>
      <c r="U2" s="3"/>
      <c r="V2" s="3"/>
      <c r="W2" s="3"/>
      <c r="X2" s="3"/>
      <c r="Y2" s="3"/>
      <c r="Z2" s="3"/>
      <c r="AA2" s="3"/>
      <c r="AB2" s="3"/>
    </row>
    <row r="3">
      <c r="A3" s="5">
        <v>45992.0</v>
      </c>
      <c r="B3" s="1" t="str">
        <f>SUM(C3:G3)</f>
        <v>7</v>
      </c>
      <c r="C3" s="1">
        <v>1.0</v>
      </c>
      <c r="D3" s="1">
        <v>2.0</v>
      </c>
      <c r="E3" s="1">
        <v>1.0</v>
      </c>
      <c r="F3" s="1">
        <v>2.0</v>
      </c>
      <c r="G3" s="1">
        <v>1.0</v>
      </c>
      <c r="H3" s="1" t="str">
        <f>SUM(I3:M3)</f>
        <v>5</v>
      </c>
      <c r="I3" s="1">
        <v>1.0</v>
      </c>
      <c r="J3" s="1">
        <v>1.0</v>
      </c>
      <c r="K3" s="1">
        <v>1.0</v>
      </c>
      <c r="L3" s="1">
        <v>1.0</v>
      </c>
      <c r="M3" s="1">
        <v>1.0</v>
      </c>
      <c r="N3" s="1">
        <v>4.0</v>
      </c>
      <c r="O3" s="1">
        <v>150.0</v>
      </c>
      <c r="P3" s="1">
        <v>25.0</v>
      </c>
      <c r="Q3" s="6" t="str">
        <f>SUM(B3/2)*20</f>
        <v>  70 </v>
      </c>
      <c r="R3" t="str">
        <f>SUM(H3/2)*20</f>
        <v>50</v>
      </c>
      <c r="S3" t="str">
        <f>SUM(N3/2)*20</f>
        <v>40</v>
      </c>
    </row>
    <row r="4">
      <c r="A4" s="5">
        <v>45993.0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>
        <v>150.0</v>
      </c>
      <c r="P4" s="1">
        <v>25.0</v>
      </c>
      <c r="Q4" s="2"/>
    </row>
    <row r="5">
      <c r="A5" s="5">
        <v>45994.0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>
        <v>150.0</v>
      </c>
      <c r="P5" s="1">
        <v>25.0</v>
      </c>
      <c r="Q5" s="2"/>
    </row>
    <row r="6">
      <c r="A6" s="5">
        <v>45995.0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>
        <v>150.0</v>
      </c>
      <c r="P6" s="1">
        <v>25.0</v>
      </c>
      <c r="Q6" s="2"/>
    </row>
    <row r="7">
      <c r="A7" s="5">
        <v>45996.0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>
        <v>150.0</v>
      </c>
      <c r="P7" s="1">
        <v>25.0</v>
      </c>
      <c r="Q7" s="2"/>
    </row>
    <row r="8">
      <c r="A8" s="5">
        <v>45997.0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>
        <v>150.0</v>
      </c>
      <c r="P8" s="1">
        <v>25.0</v>
      </c>
      <c r="Q8" s="2"/>
    </row>
    <row r="9">
      <c r="A9" s="5">
        <v>45998.0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>
        <v>150.0</v>
      </c>
      <c r="P9" s="1">
        <v>25.0</v>
      </c>
      <c r="Q9" s="2"/>
    </row>
    <row r="10">
      <c r="A10" s="5">
        <v>45999.0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>
        <v>150.0</v>
      </c>
      <c r="P10" s="1">
        <v>25.0</v>
      </c>
      <c r="Q10" s="2"/>
    </row>
    <row r="11">
      <c r="A11" s="5">
        <v>46000.0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>
        <v>150.0</v>
      </c>
      <c r="P11" s="1">
        <v>25.0</v>
      </c>
      <c r="Q11" s="2"/>
    </row>
    <row r="12">
      <c r="A12" s="5">
        <v>46001.0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>
        <v>150.0</v>
      </c>
      <c r="P12" s="1">
        <v>25.0</v>
      </c>
      <c r="Q12" s="2"/>
    </row>
    <row r="13">
      <c r="A13" s="5">
        <v>46002.0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>
        <v>150.0</v>
      </c>
      <c r="P13" s="1">
        <v>25.0</v>
      </c>
      <c r="Q13" s="2"/>
    </row>
    <row r="14">
      <c r="A14" s="5">
        <v>46003.0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>
        <v>150.0</v>
      </c>
      <c r="P14" s="1">
        <v>25.0</v>
      </c>
      <c r="Q14" s="2"/>
    </row>
    <row r="15">
      <c r="A15" s="5">
        <v>46004.0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>
        <v>150.0</v>
      </c>
      <c r="P15" s="1">
        <v>25.0</v>
      </c>
      <c r="Q15" s="2"/>
    </row>
    <row r="16">
      <c r="A16" s="5">
        <v>46005.0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>
        <v>150.0</v>
      </c>
      <c r="P16" s="1">
        <v>25.0</v>
      </c>
      <c r="Q16" s="2"/>
    </row>
    <row r="17">
      <c r="A17" s="5">
        <v>46006.0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>
        <v>150.0</v>
      </c>
      <c r="P17" s="1">
        <v>25.0</v>
      </c>
      <c r="Q17" s="2"/>
    </row>
    <row r="18">
      <c r="A18" s="5">
        <v>46007.0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>
        <v>150.0</v>
      </c>
      <c r="P18" s="1">
        <v>25.0</v>
      </c>
      <c r="Q18" s="2"/>
    </row>
    <row r="19">
      <c r="A19" s="5">
        <v>46008.0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>
        <v>150.0</v>
      </c>
      <c r="P19" s="1">
        <v>25.0</v>
      </c>
      <c r="Q19" s="2"/>
    </row>
    <row r="20">
      <c r="A20" s="5">
        <v>46009.0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>
        <v>150.0</v>
      </c>
      <c r="P20" s="1">
        <v>25.0</v>
      </c>
      <c r="Q20" s="2"/>
    </row>
    <row r="21" ht="15.75" customHeight="1">
      <c r="A21" s="5">
        <v>46010.0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>
        <v>150.0</v>
      </c>
      <c r="P21" s="1">
        <v>25.0</v>
      </c>
      <c r="Q21" s="2"/>
    </row>
    <row r="22" ht="15.75" customHeight="1">
      <c r="A22" s="5">
        <v>46011.0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>
        <v>150.0</v>
      </c>
      <c r="P22" s="1">
        <v>25.0</v>
      </c>
      <c r="Q22" s="2"/>
    </row>
    <row r="23" ht="15.75" customHeight="1">
      <c r="A23" s="5">
        <v>46012.0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>
        <v>150.0</v>
      </c>
      <c r="P23" s="1">
        <v>25.0</v>
      </c>
      <c r="Q23" s="2"/>
    </row>
    <row r="24" ht="15.75" customHeight="1">
      <c r="A24" s="5">
        <v>46013.0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>
        <v>150.0</v>
      </c>
      <c r="P24" s="1">
        <v>25.0</v>
      </c>
      <c r="Q24" s="2"/>
    </row>
    <row r="25" ht="15.75" customHeight="1">
      <c r="A25" s="5">
        <v>46014.0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>
        <v>150.0</v>
      </c>
      <c r="P25" s="1">
        <v>25.0</v>
      </c>
      <c r="Q25" s="2"/>
    </row>
    <row r="26" ht="15.75" customHeight="1">
      <c r="A26" s="5">
        <v>46015.0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>
        <v>150.0</v>
      </c>
      <c r="P26" s="1">
        <v>25.0</v>
      </c>
      <c r="Q26" s="2"/>
    </row>
    <row r="27" ht="15.75" customHeight="1">
      <c r="A27" s="5">
        <v>46016.0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>
        <v>150.0</v>
      </c>
      <c r="P27" s="1">
        <v>25.0</v>
      </c>
      <c r="Q27" s="2"/>
    </row>
    <row r="28" ht="15.75" customHeight="1">
      <c r="A28" s="5">
        <v>46017.0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>
        <v>150.0</v>
      </c>
      <c r="P28" s="1">
        <v>25.0</v>
      </c>
      <c r="Q28" s="2"/>
    </row>
    <row r="29" ht="15.75" customHeight="1">
      <c r="A29" s="5">
        <v>46018.0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>
        <v>150.0</v>
      </c>
      <c r="P29" s="1">
        <v>25.0</v>
      </c>
      <c r="Q29" s="2"/>
    </row>
    <row r="30" ht="15.75" customHeight="1">
      <c r="A30" s="5">
        <v>46019.0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>
        <v>150.0</v>
      </c>
      <c r="P30" s="1">
        <v>25.0</v>
      </c>
      <c r="Q30" s="2"/>
    </row>
    <row r="31" ht="15.75" customHeight="1">
      <c r="A31" s="5">
        <v>46020.0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>
        <v>150.0</v>
      </c>
      <c r="P31" s="1">
        <v>25.0</v>
      </c>
      <c r="Q31" s="2"/>
    </row>
    <row r="32" ht="15.75" customHeight="1">
      <c r="A32" s="5">
        <v>46021.0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>
        <v>150.0</v>
      </c>
      <c r="P32" s="1">
        <v>25.0</v>
      </c>
      <c r="Q32" s="2"/>
    </row>
    <row r="33" ht="15.75" customHeight="1">
      <c r="A33" s="5">
        <v>46022.0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>
        <v>150.0</v>
      </c>
      <c r="P33" s="1">
        <v>25.0</v>
      </c>
      <c r="Q33" s="2"/>
    </row>
    <row r="34" ht="15.75" customHeight="1">
      <c r="A34" s="7" t="s">
        <v>14</v>
      </c>
      <c r="B34" s="1" t="str">
        <f t="shared" ref="B34:N34" si="1">SUM(B3:B33)</f>
        <v>7</v>
      </c>
      <c r="C34" s="1" t="str">
        <f t="shared" si="1"/>
        <v>1</v>
      </c>
      <c r="D34" s="1" t="str">
        <f t="shared" si="1"/>
        <v>2</v>
      </c>
      <c r="E34" s="1" t="str">
        <f t="shared" si="1"/>
        <v>1</v>
      </c>
      <c r="F34" s="1" t="str">
        <f t="shared" si="1"/>
        <v>2</v>
      </c>
      <c r="G34" s="1" t="str">
        <f t="shared" si="1"/>
        <v>1</v>
      </c>
      <c r="H34" s="1" t="str">
        <f t="shared" si="1"/>
        <v>5</v>
      </c>
      <c r="I34" s="1" t="str">
        <f t="shared" si="1"/>
        <v>1</v>
      </c>
      <c r="J34" s="1" t="str">
        <f t="shared" si="1"/>
        <v>1</v>
      </c>
      <c r="K34" s="1" t="str">
        <f t="shared" si="1"/>
        <v>1</v>
      </c>
      <c r="L34" s="1" t="str">
        <f t="shared" si="1"/>
        <v>1</v>
      </c>
      <c r="M34" s="1" t="str">
        <f t="shared" si="1"/>
        <v>1</v>
      </c>
      <c r="N34" s="1" t="str">
        <f t="shared" si="1"/>
        <v>4</v>
      </c>
      <c r="O34" s="1">
        <v>150.0</v>
      </c>
      <c r="P34" s="1">
        <v>25.0</v>
      </c>
      <c r="Q34" s="8"/>
    </row>
    <row r="35" ht="15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Q35" s="2"/>
    </row>
    <row r="36" ht="15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Q36" s="2"/>
    </row>
    <row r="37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Q37" s="2"/>
    </row>
    <row r="38" ht="15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Q38" s="2"/>
    </row>
    <row r="39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Q39" s="2"/>
    </row>
    <row r="40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Q40" s="2"/>
    </row>
    <row r="41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Q41" s="2"/>
    </row>
    <row r="42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Q42" s="2"/>
    </row>
    <row r="43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Q43" s="2"/>
    </row>
    <row r="44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Q44" s="2"/>
    </row>
    <row r="45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Q45" s="2"/>
    </row>
    <row r="46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Q46" s="2"/>
    </row>
    <row r="47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Q47" s="2"/>
    </row>
    <row r="48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Q48" s="2"/>
    </row>
    <row r="49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Q49" s="2"/>
    </row>
    <row r="50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Q50" s="2"/>
    </row>
    <row r="51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Q51" s="2"/>
    </row>
    <row r="52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Q52" s="2"/>
    </row>
    <row r="53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Q53" s="2"/>
    </row>
    <row r="54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Q54" s="2"/>
    </row>
    <row r="55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Q55" s="2"/>
    </row>
    <row r="56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Q56" s="2"/>
    </row>
    <row r="57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Q57" s="2"/>
    </row>
    <row r="58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Q58" s="2"/>
    </row>
    <row r="59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Q59" s="2"/>
    </row>
    <row r="60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Q60" s="2"/>
    </row>
    <row r="61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Q61" s="2"/>
    </row>
    <row r="62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Q62" s="2"/>
    </row>
    <row r="63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Q63" s="2"/>
    </row>
    <row r="64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Q64" s="2"/>
    </row>
    <row r="65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Q65" s="2"/>
    </row>
    <row r="66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Q66" s="2"/>
    </row>
    <row r="67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Q67" s="2"/>
    </row>
    <row r="68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Q68" s="2"/>
    </row>
    <row r="69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Q69" s="2"/>
    </row>
    <row r="70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Q70" s="2"/>
    </row>
    <row r="71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Q71" s="2"/>
    </row>
    <row r="72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Q72" s="2"/>
    </row>
    <row r="73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Q73" s="2"/>
    </row>
    <row r="74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Q74" s="2"/>
    </row>
    <row r="75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Q75" s="2"/>
    </row>
    <row r="76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Q76" s="2"/>
    </row>
    <row r="77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Q77" s="2"/>
    </row>
    <row r="78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Q78" s="2"/>
    </row>
    <row r="79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Q79" s="2"/>
    </row>
    <row r="80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Q80" s="2"/>
    </row>
    <row r="81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Q81" s="2"/>
    </row>
    <row r="82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Q82" s="2"/>
    </row>
    <row r="83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Q83" s="2"/>
    </row>
    <row r="84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Q84" s="2"/>
    </row>
    <row r="85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Q85" s="2"/>
    </row>
    <row r="86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Q86" s="2"/>
    </row>
    <row r="87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Q87" s="2"/>
    </row>
    <row r="88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Q88" s="2"/>
    </row>
    <row r="89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Q89" s="2"/>
    </row>
    <row r="90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Q90" s="2"/>
    </row>
    <row r="91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Q91" s="2"/>
    </row>
    <row r="92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Q92" s="2"/>
    </row>
    <row r="93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Q93" s="2"/>
    </row>
    <row r="94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Q94" s="2"/>
    </row>
    <row r="95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Q95" s="2"/>
    </row>
    <row r="96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Q96" s="2"/>
    </row>
    <row r="97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Q97" s="2"/>
    </row>
    <row r="98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Q98" s="2"/>
    </row>
    <row r="99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Q99" s="2"/>
    </row>
    <row r="100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Q1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9" width="30.14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S1" s="2"/>
    </row>
    <row r="2">
      <c r="A2" s="3" t="s">
        <v>0</v>
      </c>
      <c r="B2" s="3" t="s">
        <v>15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16</v>
      </c>
      <c r="I2" s="3" t="s">
        <v>2</v>
      </c>
      <c r="J2" s="3" t="s">
        <v>3</v>
      </c>
      <c r="K2" s="3" t="s">
        <v>4</v>
      </c>
      <c r="L2" s="3" t="s">
        <v>5</v>
      </c>
      <c r="M2" s="3" t="s">
        <v>6</v>
      </c>
      <c r="N2" s="3" t="s">
        <v>17</v>
      </c>
      <c r="O2" s="3" t="s">
        <v>18</v>
      </c>
      <c r="P2" s="3" t="s">
        <v>19</v>
      </c>
      <c r="Q2" s="3" t="s">
        <v>20</v>
      </c>
      <c r="R2" s="3" t="s">
        <v>21</v>
      </c>
      <c r="S2" s="4" t="s">
        <v>22</v>
      </c>
      <c r="T2" s="3" t="s">
        <v>23</v>
      </c>
      <c r="U2" s="3"/>
      <c r="V2" s="3"/>
      <c r="W2" s="3"/>
      <c r="X2" s="3"/>
      <c r="Y2" s="3"/>
      <c r="Z2" s="3"/>
      <c r="AA2" s="3"/>
      <c r="AB2" s="3"/>
      <c r="AC2" s="3"/>
    </row>
    <row r="3">
      <c r="A3" s="5">
        <v>45992.0</v>
      </c>
      <c r="B3" s="1" t="str">
        <f>SUM(C3:G3)</f>
        <v>7</v>
      </c>
      <c r="C3" s="1">
        <v>1.0</v>
      </c>
      <c r="D3" s="1">
        <v>2.0</v>
      </c>
      <c r="E3" s="1">
        <v>1.0</v>
      </c>
      <c r="F3" s="1">
        <v>2.0</v>
      </c>
      <c r="G3" s="1">
        <v>1.0</v>
      </c>
      <c r="H3" s="1" t="str">
        <f>SUM(I3:M3)</f>
        <v>5</v>
      </c>
      <c r="I3" s="1">
        <v>1.0</v>
      </c>
      <c r="J3" s="1">
        <v>1.0</v>
      </c>
      <c r="K3" s="1">
        <v>1.0</v>
      </c>
      <c r="L3" s="1">
        <v>1.0</v>
      </c>
      <c r="M3" s="1">
        <v>1.0</v>
      </c>
      <c r="N3" s="1"/>
      <c r="O3" s="1"/>
      <c r="P3" s="1"/>
      <c r="Q3" s="1"/>
      <c r="R3" s="1">
        <v>50.0</v>
      </c>
      <c r="S3" s="6" t="str">
        <f>SUM(B3/2)*20</f>
        <v>  70 </v>
      </c>
      <c r="T3" t="str">
        <f>SUM(H3/2)*20</f>
        <v>50</v>
      </c>
    </row>
    <row r="4">
      <c r="A4" s="5">
        <v>45993.0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>
        <v>50.0</v>
      </c>
      <c r="S4" s="2"/>
    </row>
    <row r="5">
      <c r="A5" s="5">
        <v>45994.0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>
        <v>50.0</v>
      </c>
      <c r="S5" s="2"/>
    </row>
    <row r="6">
      <c r="A6" s="5">
        <v>45995.0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>
        <v>50.0</v>
      </c>
      <c r="S6" s="2"/>
    </row>
    <row r="7">
      <c r="A7" s="5">
        <v>45996.0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>
        <v>50.0</v>
      </c>
      <c r="S7" s="2"/>
    </row>
    <row r="8">
      <c r="A8" s="5">
        <v>45997.0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>
        <v>50.0</v>
      </c>
      <c r="S8" s="2"/>
    </row>
    <row r="9">
      <c r="A9" s="5">
        <v>45998.0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>
        <v>50.0</v>
      </c>
      <c r="S9" s="2"/>
    </row>
    <row r="10">
      <c r="A10" s="5">
        <v>45999.0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>
        <v>50.0</v>
      </c>
      <c r="S10" s="2"/>
    </row>
    <row r="11">
      <c r="A11" s="5">
        <v>46000.0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>
        <v>50.0</v>
      </c>
      <c r="S11" s="2"/>
    </row>
    <row r="12">
      <c r="A12" s="5">
        <v>46001.0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>
        <v>50.0</v>
      </c>
      <c r="S12" s="2"/>
    </row>
    <row r="13">
      <c r="A13" s="5">
        <v>46002.0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>
        <v>50.0</v>
      </c>
      <c r="S13" s="2"/>
    </row>
    <row r="14">
      <c r="A14" s="5">
        <v>46003.0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>
        <v>50.0</v>
      </c>
      <c r="S14" s="2"/>
    </row>
    <row r="15">
      <c r="A15" s="5">
        <v>46004.0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>
        <v>50.0</v>
      </c>
      <c r="S15" s="2"/>
    </row>
    <row r="16">
      <c r="A16" s="5">
        <v>46005.0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>
        <v>50.0</v>
      </c>
      <c r="S16" s="2"/>
    </row>
    <row r="17">
      <c r="A17" s="5">
        <v>46006.0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>
        <v>50.0</v>
      </c>
      <c r="S17" s="2"/>
    </row>
    <row r="18">
      <c r="A18" s="5">
        <v>46007.0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>
        <v>50.0</v>
      </c>
      <c r="S18" s="2"/>
    </row>
    <row r="19">
      <c r="A19" s="5">
        <v>46008.0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>
        <v>50.0</v>
      </c>
      <c r="S19" s="2"/>
    </row>
    <row r="20">
      <c r="A20" s="5">
        <v>46009.0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>
        <v>50.0</v>
      </c>
      <c r="S20" s="2"/>
    </row>
    <row r="21" ht="15.75" customHeight="1">
      <c r="A21" s="5">
        <v>46010.0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>
        <v>50.0</v>
      </c>
      <c r="S21" s="2"/>
    </row>
    <row r="22" ht="15.75" customHeight="1">
      <c r="A22" s="5">
        <v>46011.0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>
        <v>50.0</v>
      </c>
      <c r="S22" s="2"/>
    </row>
    <row r="23" ht="15.75" customHeight="1">
      <c r="A23" s="5">
        <v>46012.0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>
        <v>50.0</v>
      </c>
      <c r="S23" s="2"/>
    </row>
    <row r="24" ht="15.75" customHeight="1">
      <c r="A24" s="5">
        <v>46013.0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>
        <v>50.0</v>
      </c>
      <c r="S24" s="2"/>
    </row>
    <row r="25" ht="15.75" customHeight="1">
      <c r="A25" s="5">
        <v>46014.0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>
        <v>50.0</v>
      </c>
      <c r="S25" s="2"/>
    </row>
    <row r="26" ht="15.75" customHeight="1">
      <c r="A26" s="5">
        <v>46015.0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>
        <v>50.0</v>
      </c>
      <c r="S26" s="2"/>
    </row>
    <row r="27" ht="15.75" customHeight="1">
      <c r="A27" s="5">
        <v>46016.0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>
        <v>50.0</v>
      </c>
      <c r="S27" s="2"/>
    </row>
    <row r="28" ht="15.75" customHeight="1">
      <c r="A28" s="5">
        <v>46017.0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>
        <v>50.0</v>
      </c>
      <c r="S28" s="2"/>
    </row>
    <row r="29" ht="15.75" customHeight="1">
      <c r="A29" s="5">
        <v>46018.0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>
        <v>50.0</v>
      </c>
      <c r="S29" s="2"/>
    </row>
    <row r="30" ht="15.75" customHeight="1">
      <c r="A30" s="5">
        <v>46019.0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>
        <v>50.0</v>
      </c>
      <c r="S30" s="2"/>
    </row>
    <row r="31" ht="15.75" customHeight="1">
      <c r="A31" s="5">
        <v>46020.0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>
        <v>50.0</v>
      </c>
      <c r="S31" s="2"/>
    </row>
    <row r="32" ht="15.75" customHeight="1">
      <c r="A32" s="5">
        <v>46021.0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>
        <v>50.0</v>
      </c>
      <c r="S32" s="2"/>
    </row>
    <row r="33" ht="15.75" customHeight="1">
      <c r="A33" s="5">
        <v>46022.0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>
        <v>50.0</v>
      </c>
      <c r="S33" s="2"/>
    </row>
    <row r="34" ht="15.75" customHeight="1">
      <c r="A34" s="7" t="s">
        <v>14</v>
      </c>
      <c r="B34" s="1" t="str">
        <f t="shared" ref="B34:Q34" si="1">SUM(B3:B33)</f>
        <v>7</v>
      </c>
      <c r="C34" s="1" t="str">
        <f t="shared" si="1"/>
        <v>1</v>
      </c>
      <c r="D34" s="1" t="str">
        <f t="shared" si="1"/>
        <v>2</v>
      </c>
      <c r="E34" s="1" t="str">
        <f t="shared" si="1"/>
        <v>1</v>
      </c>
      <c r="F34" s="1" t="str">
        <f t="shared" si="1"/>
        <v>2</v>
      </c>
      <c r="G34" s="1" t="str">
        <f t="shared" si="1"/>
        <v>1</v>
      </c>
      <c r="H34" s="1" t="str">
        <f t="shared" si="1"/>
        <v>5</v>
      </c>
      <c r="I34" s="1" t="str">
        <f t="shared" si="1"/>
        <v>1</v>
      </c>
      <c r="J34" s="1" t="str">
        <f t="shared" si="1"/>
        <v>1</v>
      </c>
      <c r="K34" s="1" t="str">
        <f t="shared" si="1"/>
        <v>1</v>
      </c>
      <c r="L34" s="1" t="str">
        <f t="shared" si="1"/>
        <v>1</v>
      </c>
      <c r="M34" s="1" t="str">
        <f t="shared" si="1"/>
        <v>1</v>
      </c>
      <c r="N34" s="1" t="str">
        <f t="shared" si="1"/>
        <v>0</v>
      </c>
      <c r="O34" s="1" t="str">
        <f t="shared" si="1"/>
        <v>0</v>
      </c>
      <c r="P34" s="1" t="str">
        <f t="shared" si="1"/>
        <v>0</v>
      </c>
      <c r="Q34" s="1" t="str">
        <f t="shared" si="1"/>
        <v>0</v>
      </c>
      <c r="R34" s="1">
        <v>50.0</v>
      </c>
      <c r="S34" s="8"/>
    </row>
    <row r="35" ht="15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S35" s="2"/>
    </row>
    <row r="36" ht="15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S36" s="2"/>
    </row>
    <row r="37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S37" s="2"/>
    </row>
    <row r="38" ht="15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S38" s="2"/>
    </row>
    <row r="39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S39" s="2"/>
    </row>
    <row r="40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S40" s="2"/>
    </row>
    <row r="41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S41" s="2"/>
    </row>
    <row r="42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S42" s="2"/>
    </row>
    <row r="43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S43" s="2"/>
    </row>
    <row r="44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S44" s="2"/>
    </row>
    <row r="45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S45" s="2"/>
    </row>
    <row r="46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S46" s="2"/>
    </row>
    <row r="47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S47" s="2"/>
    </row>
    <row r="48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S48" s="2"/>
    </row>
    <row r="49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S49" s="2"/>
    </row>
    <row r="50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S50" s="2"/>
    </row>
    <row r="51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S51" s="2"/>
    </row>
    <row r="52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S52" s="2"/>
    </row>
    <row r="53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S53" s="2"/>
    </row>
    <row r="54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S54" s="2"/>
    </row>
    <row r="55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S55" s="2"/>
    </row>
    <row r="56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S56" s="2"/>
    </row>
    <row r="57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S57" s="2"/>
    </row>
    <row r="58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S58" s="2"/>
    </row>
    <row r="59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S59" s="2"/>
    </row>
    <row r="60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S60" s="2"/>
    </row>
    <row r="61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S61" s="2"/>
    </row>
    <row r="62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S62" s="2"/>
    </row>
    <row r="63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S63" s="2"/>
    </row>
    <row r="64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S64" s="2"/>
    </row>
    <row r="65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S65" s="2"/>
    </row>
    <row r="66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S66" s="2"/>
    </row>
    <row r="67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S67" s="2"/>
    </row>
    <row r="68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S68" s="2"/>
    </row>
    <row r="69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S69" s="2"/>
    </row>
    <row r="70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S70" s="2"/>
    </row>
    <row r="71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S71" s="2"/>
    </row>
    <row r="72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S72" s="2"/>
    </row>
    <row r="73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S73" s="2"/>
    </row>
    <row r="74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S74" s="2"/>
    </row>
    <row r="75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S75" s="2"/>
    </row>
    <row r="76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S76" s="2"/>
    </row>
    <row r="77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S77" s="2"/>
    </row>
    <row r="78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S78" s="2"/>
    </row>
    <row r="79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S79" s="2"/>
    </row>
    <row r="80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S80" s="2"/>
    </row>
    <row r="81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S81" s="2"/>
    </row>
    <row r="82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S82" s="2"/>
    </row>
    <row r="83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S83" s="2"/>
    </row>
    <row r="84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S84" s="2"/>
    </row>
    <row r="85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S85" s="2"/>
    </row>
    <row r="86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S86" s="2"/>
    </row>
    <row r="87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S87" s="2"/>
    </row>
    <row r="88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S88" s="2"/>
    </row>
    <row r="89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S89" s="2"/>
    </row>
    <row r="90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S90" s="2"/>
    </row>
    <row r="91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S91" s="2"/>
    </row>
    <row r="92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S92" s="2"/>
    </row>
    <row r="93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S93" s="2"/>
    </row>
    <row r="94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S94" s="2"/>
    </row>
    <row r="95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S95" s="2"/>
    </row>
    <row r="96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S96" s="2"/>
    </row>
    <row r="97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S97" s="2"/>
    </row>
    <row r="98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S98" s="2"/>
    </row>
    <row r="99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S99" s="2"/>
    </row>
    <row r="100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S100" s="2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9" width="30.14"/>
  </cols>
  <sheetData>
    <row r="1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Q1" s="2"/>
      <c r="R1" s="1"/>
      <c r="S1" s="1"/>
      <c r="T1" s="1"/>
      <c r="U1" s="1"/>
    </row>
    <row r="2">
      <c r="A2" s="3" t="s">
        <v>0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  <c r="K2" s="3" t="s">
        <v>33</v>
      </c>
      <c r="L2" s="3" t="s">
        <v>34</v>
      </c>
      <c r="M2" s="3" t="s">
        <v>35</v>
      </c>
      <c r="N2" s="3" t="s">
        <v>36</v>
      </c>
      <c r="O2" s="3" t="s">
        <v>37</v>
      </c>
      <c r="P2" s="3" t="s">
        <v>38</v>
      </c>
      <c r="Q2" s="4" t="s">
        <v>39</v>
      </c>
      <c r="R2" s="3" t="s">
        <v>40</v>
      </c>
      <c r="S2" s="3" t="s">
        <v>41</v>
      </c>
      <c r="T2" s="3" t="s">
        <v>42</v>
      </c>
      <c r="U2" s="3" t="s">
        <v>43</v>
      </c>
      <c r="V2" s="3" t="s">
        <v>44</v>
      </c>
      <c r="W2" s="3" t="s">
        <v>45</v>
      </c>
      <c r="X2" s="3" t="s">
        <v>46</v>
      </c>
      <c r="Y2" s="3" t="s">
        <v>47</v>
      </c>
      <c r="Z2" s="3" t="s">
        <v>48</v>
      </c>
      <c r="AA2" s="3"/>
      <c r="AB2" s="3"/>
      <c r="AC2" s="3"/>
    </row>
    <row r="3">
      <c r="A3" s="5">
        <v>45992.0</v>
      </c>
      <c r="B3" s="1" t="str">
        <f>SUM(C3:E3)</f>
        <v>58</v>
      </c>
      <c r="C3" s="1">
        <v>20.0</v>
      </c>
      <c r="D3" s="1">
        <v>6.0</v>
      </c>
      <c r="E3" s="1">
        <v>32.0</v>
      </c>
      <c r="F3" s="1" t="str">
        <f>SUM(G3:K3)</f>
        <v>36</v>
      </c>
      <c r="G3" s="1">
        <v>3.0</v>
      </c>
      <c r="H3" s="1">
        <v>18.0</v>
      </c>
      <c r="I3" s="1">
        <v>4.0</v>
      </c>
      <c r="J3" s="1">
        <v>3.0</v>
      </c>
      <c r="K3" s="1">
        <v>8.0</v>
      </c>
      <c r="L3" s="1">
        <v>2.0</v>
      </c>
      <c r="M3" s="1">
        <v>2.0</v>
      </c>
      <c r="N3" s="1">
        <v>5.0</v>
      </c>
      <c r="O3" s="1">
        <v>1.0</v>
      </c>
      <c r="P3" s="1">
        <v>1.0</v>
      </c>
      <c r="Q3" s="6">
        <v>0.0</v>
      </c>
      <c r="R3" s="1" t="str">
        <f>(2/20)*100</f>
        <v>10</v>
      </c>
      <c r="S3" s="9" t="str">
        <f>(2/6)*100</f>
        <v>33.33333333</v>
      </c>
      <c r="T3" s="9" t="str">
        <f>(5/32)*100</f>
        <v>15.625</v>
      </c>
      <c r="U3" s="9"/>
    </row>
    <row r="4">
      <c r="A4" s="5">
        <v>45993.0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2"/>
      <c r="R4" s="1"/>
      <c r="S4" s="1"/>
      <c r="T4" s="1"/>
      <c r="U4" s="1"/>
    </row>
    <row r="5">
      <c r="A5" s="5">
        <v>45994.0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2"/>
      <c r="R5" s="1"/>
      <c r="S5" s="1"/>
      <c r="T5" s="1"/>
      <c r="U5" s="1"/>
    </row>
    <row r="6">
      <c r="A6" s="5">
        <v>45995.0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2"/>
      <c r="R6" s="1"/>
      <c r="S6" s="1"/>
      <c r="T6" s="1"/>
      <c r="U6" s="1"/>
    </row>
    <row r="7">
      <c r="A7" s="5">
        <v>45996.0</v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2"/>
      <c r="R7" s="1"/>
      <c r="S7" s="1"/>
      <c r="T7" s="1"/>
      <c r="U7" s="1"/>
    </row>
    <row r="8">
      <c r="A8" s="5">
        <v>45997.0</v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2"/>
      <c r="R8" s="1"/>
      <c r="S8" s="1"/>
      <c r="T8" s="1"/>
      <c r="U8" s="1"/>
    </row>
    <row r="9">
      <c r="A9" s="5">
        <v>45998.0</v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2"/>
      <c r="R9" s="1"/>
      <c r="S9" s="1"/>
      <c r="T9" s="1"/>
      <c r="U9" s="1"/>
    </row>
    <row r="10">
      <c r="A10" s="5">
        <v>45999.0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2"/>
      <c r="R10" s="1"/>
      <c r="S10" s="1"/>
      <c r="T10" s="1"/>
      <c r="U10" s="1"/>
    </row>
    <row r="11">
      <c r="A11" s="5">
        <v>46000.0</v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2"/>
      <c r="R11" s="1"/>
      <c r="S11" s="1"/>
      <c r="T11" s="1"/>
      <c r="U11" s="1"/>
    </row>
    <row r="12">
      <c r="A12" s="5">
        <v>46001.0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2"/>
      <c r="R12" s="1"/>
      <c r="S12" s="1"/>
      <c r="T12" s="1"/>
      <c r="U12" s="1"/>
    </row>
    <row r="13">
      <c r="A13" s="5">
        <v>46002.0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2"/>
      <c r="R13" s="1"/>
      <c r="S13" s="1"/>
      <c r="T13" s="1"/>
      <c r="U13" s="1"/>
    </row>
    <row r="14">
      <c r="A14" s="5">
        <v>46003.0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2"/>
      <c r="R14" s="1"/>
      <c r="S14" s="1"/>
      <c r="T14" s="1"/>
      <c r="U14" s="1"/>
    </row>
    <row r="15">
      <c r="A15" s="5">
        <v>46004.0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2"/>
      <c r="R15" s="1"/>
      <c r="S15" s="1"/>
      <c r="T15" s="1"/>
      <c r="U15" s="1"/>
    </row>
    <row r="16">
      <c r="A16" s="5">
        <v>46005.0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2"/>
      <c r="R16" s="1"/>
      <c r="S16" s="1"/>
      <c r="T16" s="1"/>
      <c r="U16" s="1"/>
    </row>
    <row r="17">
      <c r="A17" s="5">
        <v>46006.0</v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2"/>
      <c r="R17" s="1"/>
      <c r="S17" s="1"/>
      <c r="T17" s="1"/>
      <c r="U17" s="1"/>
    </row>
    <row r="18">
      <c r="A18" s="5">
        <v>46007.0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2"/>
      <c r="R18" s="1"/>
      <c r="S18" s="1"/>
      <c r="T18" s="1"/>
      <c r="U18" s="1"/>
    </row>
    <row r="19">
      <c r="A19" s="5">
        <v>46008.0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2"/>
      <c r="R19" s="1"/>
      <c r="S19" s="1"/>
      <c r="T19" s="1"/>
      <c r="U19" s="1"/>
    </row>
    <row r="20">
      <c r="A20" s="5">
        <v>46009.0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2"/>
      <c r="R20" s="1"/>
      <c r="S20" s="1"/>
      <c r="T20" s="1"/>
      <c r="U20" s="1"/>
    </row>
    <row r="21" ht="15.75" customHeight="1">
      <c r="A21" s="5">
        <v>46010.0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2"/>
      <c r="R21" s="1"/>
      <c r="S21" s="1"/>
      <c r="T21" s="1"/>
      <c r="U21" s="1"/>
    </row>
    <row r="22" ht="15.75" customHeight="1">
      <c r="A22" s="5">
        <v>46011.0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2"/>
      <c r="R22" s="1"/>
      <c r="S22" s="1"/>
      <c r="T22" s="1"/>
      <c r="U22" s="1"/>
    </row>
    <row r="23" ht="15.75" customHeight="1">
      <c r="A23" s="5">
        <v>46012.0</v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2"/>
      <c r="R23" s="1"/>
      <c r="S23" s="1"/>
      <c r="T23" s="1"/>
      <c r="U23" s="1"/>
    </row>
    <row r="24" ht="15.75" customHeight="1">
      <c r="A24" s="5">
        <v>46013.0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2"/>
      <c r="R24" s="1"/>
      <c r="S24" s="1"/>
      <c r="T24" s="1"/>
      <c r="U24" s="1"/>
    </row>
    <row r="25" ht="15.75" customHeight="1">
      <c r="A25" s="5">
        <v>46014.0</v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2"/>
      <c r="R25" s="1"/>
      <c r="S25" s="1"/>
      <c r="T25" s="1"/>
      <c r="U25" s="1"/>
    </row>
    <row r="26" ht="15.75" customHeight="1">
      <c r="A26" s="5">
        <v>46015.0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2"/>
      <c r="R26" s="1"/>
      <c r="S26" s="1"/>
      <c r="T26" s="1"/>
      <c r="U26" s="1"/>
    </row>
    <row r="27" ht="15.75" customHeight="1">
      <c r="A27" s="5">
        <v>46016.0</v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2"/>
      <c r="R27" s="1"/>
      <c r="S27" s="1"/>
      <c r="T27" s="1"/>
      <c r="U27" s="1"/>
    </row>
    <row r="28" ht="15.75" customHeight="1">
      <c r="A28" s="5">
        <v>46017.0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2"/>
      <c r="R28" s="1"/>
      <c r="S28" s="1"/>
      <c r="T28" s="1"/>
      <c r="U28" s="1"/>
    </row>
    <row r="29" ht="15.75" customHeight="1">
      <c r="A29" s="5">
        <v>46018.0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2"/>
      <c r="R29" s="1"/>
      <c r="S29" s="1"/>
      <c r="T29" s="1"/>
      <c r="U29" s="1"/>
    </row>
    <row r="30" ht="15.75" customHeight="1">
      <c r="A30" s="5">
        <v>46019.0</v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2"/>
      <c r="R30" s="1"/>
      <c r="S30" s="1"/>
      <c r="T30" s="1"/>
      <c r="U30" s="1"/>
    </row>
    <row r="31" ht="15.75" customHeight="1">
      <c r="A31" s="5">
        <v>46020.0</v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2"/>
      <c r="R31" s="1"/>
      <c r="S31" s="1"/>
      <c r="T31" s="1"/>
      <c r="U31" s="1"/>
    </row>
    <row r="32" ht="15.75" customHeight="1">
      <c r="A32" s="5">
        <v>46021.0</v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2"/>
      <c r="R32" s="1"/>
      <c r="S32" s="1"/>
      <c r="T32" s="1"/>
      <c r="U32" s="1"/>
    </row>
    <row r="33" ht="15.75" customHeight="1">
      <c r="A33" s="5">
        <v>46022.0</v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2"/>
      <c r="R33" s="1"/>
      <c r="S33" s="1"/>
      <c r="T33" s="1"/>
      <c r="U33" s="1"/>
    </row>
    <row r="34" ht="15.75" customHeight="1">
      <c r="A34" s="7" t="s">
        <v>14</v>
      </c>
      <c r="B34" s="1" t="str">
        <f t="shared" ref="B34:O34" si="1">SUM(B3:B33)</f>
        <v>58</v>
      </c>
      <c r="C34" s="1" t="str">
        <f t="shared" si="1"/>
        <v>20</v>
      </c>
      <c r="D34" s="1" t="str">
        <f t="shared" si="1"/>
        <v>6</v>
      </c>
      <c r="E34" s="1" t="str">
        <f t="shared" si="1"/>
        <v>32</v>
      </c>
      <c r="F34" s="1" t="str">
        <f t="shared" si="1"/>
        <v>36</v>
      </c>
      <c r="G34" s="1" t="str">
        <f t="shared" si="1"/>
        <v>3</v>
      </c>
      <c r="H34" s="1" t="str">
        <f t="shared" si="1"/>
        <v>18</v>
      </c>
      <c r="I34" s="1" t="str">
        <f t="shared" si="1"/>
        <v>4</v>
      </c>
      <c r="J34" s="1" t="str">
        <f t="shared" si="1"/>
        <v>3</v>
      </c>
      <c r="K34" s="1" t="str">
        <f t="shared" si="1"/>
        <v>8</v>
      </c>
      <c r="L34" s="1" t="str">
        <f t="shared" si="1"/>
        <v>2</v>
      </c>
      <c r="M34" s="1" t="str">
        <f t="shared" si="1"/>
        <v>2</v>
      </c>
      <c r="N34" s="1" t="str">
        <f t="shared" si="1"/>
        <v>5</v>
      </c>
      <c r="O34" s="1" t="str">
        <f t="shared" si="1"/>
        <v>1</v>
      </c>
      <c r="P34" s="1"/>
      <c r="Q34" s="8"/>
      <c r="R34" s="1"/>
      <c r="S34" s="1"/>
      <c r="T34" s="1"/>
      <c r="U34" s="1"/>
    </row>
    <row r="35" ht="15.75" customHeight="1"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Q35" s="2"/>
      <c r="R35" s="1"/>
      <c r="S35" s="1"/>
      <c r="T35" s="1"/>
      <c r="U35" s="1"/>
    </row>
    <row r="36" ht="15.75" customHeight="1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Q36" s="2"/>
      <c r="R36" s="1"/>
      <c r="S36" s="1"/>
      <c r="T36" s="1"/>
      <c r="U36" s="1"/>
    </row>
    <row r="37" ht="15.75" customHeight="1"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Q37" s="2"/>
      <c r="R37" s="1"/>
      <c r="S37" s="1"/>
      <c r="T37" s="1"/>
      <c r="U37" s="1"/>
    </row>
    <row r="38" ht="15.75" customHeight="1"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Q38" s="2"/>
      <c r="R38" s="1"/>
      <c r="S38" s="1"/>
      <c r="T38" s="1"/>
      <c r="U38" s="1"/>
    </row>
    <row r="39" ht="15.75" customHeight="1"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Q39" s="2"/>
      <c r="R39" s="1"/>
      <c r="S39" s="1"/>
      <c r="T39" s="1"/>
      <c r="U39" s="1"/>
    </row>
    <row r="40" ht="15.75" customHeight="1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Q40" s="2"/>
      <c r="R40" s="1"/>
      <c r="S40" s="1"/>
      <c r="T40" s="1"/>
      <c r="U40" s="1"/>
    </row>
    <row r="41" ht="15.75" customHeight="1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Q41" s="2"/>
      <c r="R41" s="1"/>
      <c r="S41" s="1"/>
      <c r="T41" s="1"/>
      <c r="U41" s="1"/>
    </row>
    <row r="42" ht="15.75" customHeight="1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Q42" s="2"/>
      <c r="R42" s="1"/>
      <c r="S42" s="1"/>
      <c r="T42" s="1"/>
      <c r="U42" s="1"/>
    </row>
    <row r="43" ht="15.75" customHeight="1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Q43" s="2"/>
      <c r="R43" s="1"/>
      <c r="S43" s="1"/>
      <c r="T43" s="1"/>
      <c r="U43" s="1"/>
    </row>
    <row r="44" ht="15.75" customHeight="1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Q44" s="2"/>
      <c r="R44" s="1"/>
      <c r="S44" s="1"/>
      <c r="T44" s="1"/>
      <c r="U44" s="1"/>
    </row>
    <row r="45" ht="15.75" customHeight="1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Q45" s="2"/>
      <c r="R45" s="1"/>
      <c r="S45" s="1"/>
      <c r="T45" s="1"/>
      <c r="U45" s="1"/>
    </row>
    <row r="46" ht="15.75" customHeight="1"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Q46" s="2"/>
      <c r="R46" s="1"/>
      <c r="S46" s="1"/>
      <c r="T46" s="1"/>
      <c r="U46" s="1"/>
    </row>
    <row r="47" ht="15.75" customHeight="1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Q47" s="2"/>
      <c r="R47" s="1"/>
      <c r="S47" s="1"/>
      <c r="T47" s="1"/>
      <c r="U47" s="1"/>
    </row>
    <row r="48" ht="15.75" customHeight="1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Q48" s="2"/>
      <c r="R48" s="1"/>
      <c r="S48" s="1"/>
      <c r="T48" s="1"/>
      <c r="U48" s="1"/>
    </row>
    <row r="49" ht="15.75" customHeight="1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Q49" s="2"/>
      <c r="R49" s="1"/>
      <c r="S49" s="1"/>
      <c r="T49" s="1"/>
      <c r="U49" s="1"/>
    </row>
    <row r="50" ht="15.75" customHeight="1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Q50" s="2"/>
      <c r="R50" s="1"/>
      <c r="S50" s="1"/>
      <c r="T50" s="1"/>
      <c r="U50" s="1"/>
    </row>
    <row r="51" ht="15.75" customHeight="1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Q51" s="2"/>
      <c r="R51" s="1"/>
      <c r="S51" s="1"/>
      <c r="T51" s="1"/>
      <c r="U51" s="1"/>
    </row>
    <row r="52" ht="15.75" customHeight="1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Q52" s="2"/>
      <c r="R52" s="1"/>
      <c r="S52" s="1"/>
      <c r="T52" s="1"/>
      <c r="U52" s="1"/>
    </row>
    <row r="53" ht="15.75" customHeight="1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Q53" s="2"/>
      <c r="R53" s="1"/>
      <c r="S53" s="1"/>
      <c r="T53" s="1"/>
      <c r="U53" s="1"/>
    </row>
    <row r="54" ht="15.75" customHeight="1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Q54" s="2"/>
      <c r="R54" s="1"/>
      <c r="S54" s="1"/>
      <c r="T54" s="1"/>
      <c r="U54" s="1"/>
    </row>
    <row r="55" ht="15.75" customHeight="1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Q55" s="2"/>
      <c r="R55" s="1"/>
      <c r="S55" s="1"/>
      <c r="T55" s="1"/>
      <c r="U55" s="1"/>
    </row>
    <row r="56" ht="15.75" customHeight="1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Q56" s="2"/>
      <c r="R56" s="1"/>
      <c r="S56" s="1"/>
      <c r="T56" s="1"/>
      <c r="U56" s="1"/>
    </row>
    <row r="57" ht="15.75" customHeight="1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Q57" s="2"/>
      <c r="R57" s="1"/>
      <c r="S57" s="1"/>
      <c r="T57" s="1"/>
      <c r="U57" s="1"/>
    </row>
    <row r="58" ht="15.75" customHeight="1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Q58" s="2"/>
      <c r="R58" s="1"/>
      <c r="S58" s="1"/>
      <c r="T58" s="1"/>
      <c r="U58" s="1"/>
    </row>
    <row r="59" ht="15.75" customHeight="1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Q59" s="2"/>
      <c r="R59" s="1"/>
      <c r="S59" s="1"/>
      <c r="T59" s="1"/>
      <c r="U59" s="1"/>
    </row>
    <row r="60" ht="15.75" customHeight="1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Q60" s="2"/>
      <c r="R60" s="1"/>
      <c r="S60" s="1"/>
      <c r="T60" s="1"/>
      <c r="U60" s="1"/>
    </row>
    <row r="61" ht="15.75" customHeight="1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Q61" s="2"/>
      <c r="R61" s="1"/>
      <c r="S61" s="1"/>
      <c r="T61" s="1"/>
      <c r="U61" s="1"/>
    </row>
    <row r="62" ht="15.75" customHeight="1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Q62" s="2"/>
      <c r="R62" s="1"/>
      <c r="S62" s="1"/>
      <c r="T62" s="1"/>
      <c r="U62" s="1"/>
    </row>
    <row r="63" ht="15.75" customHeight="1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Q63" s="2"/>
      <c r="R63" s="1"/>
      <c r="S63" s="1"/>
      <c r="T63" s="1"/>
      <c r="U63" s="1"/>
    </row>
    <row r="64" ht="15.75" customHeight="1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Q64" s="2"/>
      <c r="R64" s="1"/>
      <c r="S64" s="1"/>
      <c r="T64" s="1"/>
      <c r="U64" s="1"/>
    </row>
    <row r="65" ht="15.75" customHeight="1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Q65" s="2"/>
      <c r="R65" s="1"/>
      <c r="S65" s="1"/>
      <c r="T65" s="1"/>
      <c r="U65" s="1"/>
    </row>
    <row r="66" ht="15.75" customHeight="1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Q66" s="2"/>
      <c r="R66" s="1"/>
      <c r="S66" s="1"/>
      <c r="T66" s="1"/>
      <c r="U66" s="1"/>
    </row>
    <row r="67" ht="15.75" customHeight="1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Q67" s="2"/>
      <c r="R67" s="1"/>
      <c r="S67" s="1"/>
      <c r="T67" s="1"/>
      <c r="U67" s="1"/>
    </row>
    <row r="68" ht="15.75" customHeight="1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Q68" s="2"/>
      <c r="R68" s="1"/>
      <c r="S68" s="1"/>
      <c r="T68" s="1"/>
      <c r="U68" s="1"/>
    </row>
    <row r="69" ht="15.75" customHeight="1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Q69" s="2"/>
      <c r="R69" s="1"/>
      <c r="S69" s="1"/>
      <c r="T69" s="1"/>
      <c r="U69" s="1"/>
    </row>
    <row r="70" ht="15.75" customHeight="1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Q70" s="2"/>
      <c r="R70" s="1"/>
      <c r="S70" s="1"/>
      <c r="T70" s="1"/>
      <c r="U70" s="1"/>
    </row>
    <row r="71" ht="15.75" customHeight="1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Q71" s="2"/>
      <c r="R71" s="1"/>
      <c r="S71" s="1"/>
      <c r="T71" s="1"/>
      <c r="U71" s="1"/>
    </row>
    <row r="72" ht="15.75" customHeight="1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Q72" s="2"/>
      <c r="R72" s="1"/>
      <c r="S72" s="1"/>
      <c r="T72" s="1"/>
      <c r="U72" s="1"/>
    </row>
    <row r="73" ht="15.75" customHeight="1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Q73" s="2"/>
      <c r="R73" s="1"/>
      <c r="S73" s="1"/>
      <c r="T73" s="1"/>
      <c r="U73" s="1"/>
    </row>
    <row r="74" ht="15.75" customHeight="1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Q74" s="2"/>
      <c r="R74" s="1"/>
      <c r="S74" s="1"/>
      <c r="T74" s="1"/>
      <c r="U74" s="1"/>
    </row>
    <row r="75" ht="15.75" customHeight="1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Q75" s="2"/>
      <c r="R75" s="1"/>
      <c r="S75" s="1"/>
      <c r="T75" s="1"/>
      <c r="U75" s="1"/>
    </row>
    <row r="76" ht="15.75" customHeight="1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Q76" s="2"/>
      <c r="R76" s="1"/>
      <c r="S76" s="1"/>
      <c r="T76" s="1"/>
      <c r="U76" s="1"/>
    </row>
    <row r="77" ht="15.75" customHeight="1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Q77" s="2"/>
      <c r="R77" s="1"/>
      <c r="S77" s="1"/>
      <c r="T77" s="1"/>
      <c r="U77" s="1"/>
    </row>
    <row r="78" ht="15.75" customHeight="1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Q78" s="2"/>
      <c r="R78" s="1"/>
      <c r="S78" s="1"/>
      <c r="T78" s="1"/>
      <c r="U78" s="1"/>
    </row>
    <row r="79" ht="15.75" customHeight="1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Q79" s="2"/>
      <c r="R79" s="1"/>
      <c r="S79" s="1"/>
      <c r="T79" s="1"/>
      <c r="U79" s="1"/>
    </row>
    <row r="80" ht="15.75" customHeight="1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Q80" s="2"/>
      <c r="R80" s="1"/>
      <c r="S80" s="1"/>
      <c r="T80" s="1"/>
      <c r="U80" s="1"/>
    </row>
    <row r="81" ht="15.75" customHeight="1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Q81" s="2"/>
      <c r="R81" s="1"/>
      <c r="S81" s="1"/>
      <c r="T81" s="1"/>
      <c r="U81" s="1"/>
    </row>
    <row r="82" ht="15.75" customHeight="1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Q82" s="2"/>
      <c r="R82" s="1"/>
      <c r="S82" s="1"/>
      <c r="T82" s="1"/>
      <c r="U82" s="1"/>
    </row>
    <row r="83" ht="15.75" customHeight="1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Q83" s="2"/>
      <c r="R83" s="1"/>
      <c r="S83" s="1"/>
      <c r="T83" s="1"/>
      <c r="U83" s="1"/>
    </row>
    <row r="84" ht="15.75" customHeight="1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Q84" s="2"/>
      <c r="R84" s="1"/>
      <c r="S84" s="1"/>
      <c r="T84" s="1"/>
      <c r="U84" s="1"/>
    </row>
    <row r="85" ht="15.75" customHeight="1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Q85" s="2"/>
      <c r="R85" s="1"/>
      <c r="S85" s="1"/>
      <c r="T85" s="1"/>
      <c r="U85" s="1"/>
    </row>
    <row r="86" ht="15.75" customHeight="1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Q86" s="2"/>
      <c r="R86" s="1"/>
      <c r="S86" s="1"/>
      <c r="T86" s="1"/>
      <c r="U86" s="1"/>
    </row>
    <row r="87" ht="15.75" customHeight="1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Q87" s="2"/>
      <c r="R87" s="1"/>
      <c r="S87" s="1"/>
      <c r="T87" s="1"/>
      <c r="U87" s="1"/>
    </row>
    <row r="88" ht="15.75" customHeight="1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Q88" s="2"/>
      <c r="R88" s="1"/>
      <c r="S88" s="1"/>
      <c r="T88" s="1"/>
      <c r="U88" s="1"/>
    </row>
    <row r="89" ht="15.75" customHeight="1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Q89" s="2"/>
      <c r="R89" s="1"/>
      <c r="S89" s="1"/>
      <c r="T89" s="1"/>
      <c r="U89" s="1"/>
    </row>
    <row r="90" ht="15.75" customHeight="1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Q90" s="2"/>
      <c r="R90" s="1"/>
      <c r="S90" s="1"/>
      <c r="T90" s="1"/>
      <c r="U90" s="1"/>
    </row>
    <row r="91" ht="15.75" customHeight="1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Q91" s="2"/>
      <c r="R91" s="1"/>
      <c r="S91" s="1"/>
      <c r="T91" s="1"/>
      <c r="U91" s="1"/>
    </row>
    <row r="92" ht="15.75" customHeight="1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Q92" s="2"/>
      <c r="R92" s="1"/>
      <c r="S92" s="1"/>
      <c r="T92" s="1"/>
      <c r="U92" s="1"/>
    </row>
    <row r="93" ht="15.75" customHeight="1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Q93" s="2"/>
      <c r="R93" s="1"/>
      <c r="S93" s="1"/>
      <c r="T93" s="1"/>
      <c r="U93" s="1"/>
    </row>
    <row r="94" ht="15.75" customHeight="1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Q94" s="2"/>
      <c r="R94" s="1"/>
      <c r="S94" s="1"/>
      <c r="T94" s="1"/>
      <c r="U94" s="1"/>
    </row>
    <row r="95" ht="15.75" customHeight="1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Q95" s="2"/>
      <c r="R95" s="1"/>
      <c r="S95" s="1"/>
      <c r="T95" s="1"/>
      <c r="U95" s="1"/>
    </row>
    <row r="96" ht="15.75" customHeight="1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Q96" s="2"/>
      <c r="R96" s="1"/>
      <c r="S96" s="1"/>
      <c r="T96" s="1"/>
      <c r="U96" s="1"/>
    </row>
    <row r="97" ht="15.75" customHeight="1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Q97" s="2"/>
      <c r="R97" s="1"/>
      <c r="S97" s="1"/>
      <c r="T97" s="1"/>
      <c r="U97" s="1"/>
    </row>
    <row r="98" ht="15.75" customHeight="1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Q98" s="2"/>
      <c r="R98" s="1"/>
      <c r="S98" s="1"/>
      <c r="T98" s="1"/>
      <c r="U98" s="1"/>
    </row>
    <row r="99" ht="15.75" customHeight="1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Q99" s="2"/>
      <c r="R99" s="1"/>
      <c r="S99" s="1"/>
      <c r="T99" s="1"/>
      <c r="U99" s="1"/>
    </row>
    <row r="100" ht="15.75" customHeight="1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Q100" s="2"/>
      <c r="R100" s="1"/>
      <c r="S100" s="1"/>
      <c r="T100" s="1"/>
      <c r="U100" s="1"/>
    </row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Planilhas</vt:lpstr>
      </vt:variant>
      <vt:variant>
        <vt:i4>3</vt:i4>
      </vt:variant>
    </vt:vector>
  </HeadingPairs>
  <TitlesOfParts>
    <vt:vector baseType="lpstr" size="3">
      <vt:lpstr>DASH SKY</vt:lpstr>
      <vt:lpstr>DASH NET</vt:lpstr>
      <vt:lpstr>LEADS</vt:lpstr>
    </vt:vector>
  </TitlesOfParts>
  <LinksUpToDate>false</LinksUpToDate>
  <SharedDoc>false</SharedDoc>
  <HyperlinksChanged>false</HyperlinksChanged>
  <Application>Microsoft Excel</Application>
  <AppVersion>15.0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2025-12-02T13:56:31Z</dcterms:created>
  <dc:creator>Marta</dc:creator>
  <cp:lastModifiedBy>Marta</cp:lastModifiedBy>
  <dcterms:modified xsi:type="dcterms:W3CDTF">2025-12-08T17:50:07Z</dcterms:modified>
</cp:coreProperties>
</file>